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Jul2025-Jun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0"/>
    </font>
    <font>
      <name val="Arial"/>
      <b val="1"/>
    </font>
    <font>
      <name val="Arial"/>
    </font>
    <font>
      <name val="Arial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medium"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3" pivotButton="0" quotePrefix="0" xfId="0"/>
    <xf numFmtId="164" fontId="4" fillId="0" borderId="3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RobotX, Inc.</t>
        </is>
      </c>
    </row>
    <row r="2">
      <c r="A2" s="2" t="inlineStr">
        <is>
          <t>Profit &amp; Loss</t>
        </is>
      </c>
    </row>
    <row r="3">
      <c r="A3" s="3" t="inlineStr">
        <is>
          <t>July 1, 2025 – June 30, 2026   (USD, accrual)</t>
        </is>
      </c>
    </row>
    <row r="5">
      <c r="A5" s="4" t="inlineStr">
        <is>
          <t>Account</t>
        </is>
      </c>
      <c r="B5" s="5" t="inlineStr">
        <is>
          <t>Jul 2025</t>
        </is>
      </c>
      <c r="C5" s="5" t="inlineStr">
        <is>
          <t>Aug 2025</t>
        </is>
      </c>
      <c r="D5" s="5" t="inlineStr">
        <is>
          <t>Sep 2025</t>
        </is>
      </c>
      <c r="E5" s="5" t="inlineStr">
        <is>
          <t>Oct 2025</t>
        </is>
      </c>
      <c r="F5" s="5" t="inlineStr">
        <is>
          <t>Nov 2025</t>
        </is>
      </c>
      <c r="G5" s="5" t="inlineStr">
        <is>
          <t>Dec 2025</t>
        </is>
      </c>
      <c r="H5" s="5" t="inlineStr">
        <is>
          <t>Jan 2026</t>
        </is>
      </c>
      <c r="I5" s="5" t="inlineStr">
        <is>
          <t>Feb 2026</t>
        </is>
      </c>
      <c r="J5" s="5" t="inlineStr">
        <is>
          <t>Mar 2026</t>
        </is>
      </c>
      <c r="K5" s="5" t="inlineStr">
        <is>
          <t>Apr 2026</t>
        </is>
      </c>
      <c r="L5" s="5" t="inlineStr">
        <is>
          <t>May 2026</t>
        </is>
      </c>
      <c r="M5" s="5" t="inlineStr">
        <is>
          <t>Jun 2026</t>
        </is>
      </c>
      <c r="N5" s="5" t="inlineStr">
        <is>
          <t>Total</t>
        </is>
      </c>
    </row>
    <row r="6">
      <c r="A6" s="6" t="inlineStr">
        <is>
          <t>Income</t>
        </is>
      </c>
    </row>
    <row r="7">
      <c r="A7" s="7" t="inlineStr">
        <is>
          <t xml:space="preserve">   Sales</t>
        </is>
      </c>
      <c r="B7" s="8" t="n"/>
      <c r="C7" s="8" t="n"/>
      <c r="D7" s="8" t="n"/>
      <c r="E7" s="8" t="n"/>
      <c r="F7" s="8" t="n"/>
      <c r="G7" s="8" t="n"/>
      <c r="H7" s="8" t="n"/>
      <c r="I7" s="8" t="n">
        <v>2500</v>
      </c>
      <c r="J7" s="8" t="n"/>
      <c r="K7" s="8" t="n">
        <v>3800</v>
      </c>
      <c r="L7" s="8" t="n"/>
      <c r="M7" s="8" t="n"/>
      <c r="N7" s="8">
        <f>SUM(B7:M7)</f>
        <v/>
      </c>
    </row>
    <row r="8">
      <c r="A8" s="7" t="inlineStr">
        <is>
          <t xml:space="preserve">   Sales of Product Income</t>
        </is>
      </c>
      <c r="B8" s="8" t="n"/>
      <c r="C8" s="8" t="n"/>
      <c r="D8" s="8" t="n"/>
      <c r="E8" s="8" t="n">
        <v>251000</v>
      </c>
      <c r="F8" s="8" t="n">
        <v>448000</v>
      </c>
      <c r="G8" s="8" t="n">
        <v>1135000</v>
      </c>
      <c r="H8" s="8" t="n"/>
      <c r="I8" s="8" t="n"/>
      <c r="J8" s="8" t="n">
        <v>587863.05</v>
      </c>
      <c r="K8" s="8" t="n">
        <v>30833.09</v>
      </c>
      <c r="L8" s="8" t="n"/>
      <c r="M8" s="8" t="n"/>
      <c r="N8" s="8">
        <f>SUM(B8:M8)</f>
        <v/>
      </c>
    </row>
    <row r="9">
      <c r="A9" s="7" t="inlineStr">
        <is>
          <t xml:space="preserve">   Sales - Logistics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>
        <v>200</v>
      </c>
      <c r="L9" s="8" t="n"/>
      <c r="M9" s="8" t="n"/>
      <c r="N9" s="8">
        <f>SUM(B9:M9)</f>
        <v/>
      </c>
    </row>
    <row r="10">
      <c r="A10" s="9" t="inlineStr">
        <is>
          <t>Total Income</t>
        </is>
      </c>
      <c r="B10" s="10">
        <f>SUM(B7:B9)</f>
        <v/>
      </c>
      <c r="C10" s="10">
        <f>SUM(C7:C9)</f>
        <v/>
      </c>
      <c r="D10" s="10">
        <f>SUM(D7:D9)</f>
        <v/>
      </c>
      <c r="E10" s="10">
        <f>SUM(E7:E9)</f>
        <v/>
      </c>
      <c r="F10" s="10">
        <f>SUM(F7:F9)</f>
        <v/>
      </c>
      <c r="G10" s="10">
        <f>SUM(G7:G9)</f>
        <v/>
      </c>
      <c r="H10" s="10">
        <f>SUM(H7:H9)</f>
        <v/>
      </c>
      <c r="I10" s="10">
        <f>SUM(I7:I9)</f>
        <v/>
      </c>
      <c r="J10" s="10">
        <f>SUM(J7:J9)</f>
        <v/>
      </c>
      <c r="K10" s="10">
        <f>SUM(K7:K9)</f>
        <v/>
      </c>
      <c r="L10" s="10">
        <f>SUM(L7:L9)</f>
        <v/>
      </c>
      <c r="M10" s="10">
        <f>SUM(M7:M9)</f>
        <v/>
      </c>
      <c r="N10" s="10">
        <f>SUM(N7:N9)</f>
        <v/>
      </c>
    </row>
    <row r="12">
      <c r="A12" s="6" t="inlineStr">
        <is>
          <t>Cost of Goods Sold</t>
        </is>
      </c>
    </row>
    <row r="13">
      <c r="A13" s="7" t="inlineStr">
        <is>
          <t xml:space="preserve">   Cost of Goods Sold</t>
        </is>
      </c>
      <c r="B13" s="8" t="n"/>
      <c r="C13" s="8" t="n"/>
      <c r="D13" s="8" t="n"/>
      <c r="E13" s="8" t="n"/>
      <c r="F13" s="8" t="n">
        <v>480961</v>
      </c>
      <c r="G13" s="8" t="n">
        <v>40872</v>
      </c>
      <c r="H13" s="8" t="n">
        <v>9898</v>
      </c>
      <c r="I13" s="8" t="n">
        <v>27600</v>
      </c>
      <c r="J13" s="8" t="n">
        <v>557860</v>
      </c>
      <c r="K13" s="8" t="n"/>
      <c r="L13" s="8" t="n"/>
      <c r="M13" s="8" t="n"/>
      <c r="N13" s="8">
        <f>SUM(B13:M13)</f>
        <v/>
      </c>
    </row>
    <row r="14">
      <c r="A14" s="9" t="inlineStr">
        <is>
          <t>Total Cost of Goods Sold</t>
        </is>
      </c>
      <c r="B14" s="10">
        <f>SUM(B13:B13)</f>
        <v/>
      </c>
      <c r="C14" s="10">
        <f>SUM(C13:C13)</f>
        <v/>
      </c>
      <c r="D14" s="10">
        <f>SUM(D13:D13)</f>
        <v/>
      </c>
      <c r="E14" s="10">
        <f>SUM(E13:E13)</f>
        <v/>
      </c>
      <c r="F14" s="10">
        <f>SUM(F13:F13)</f>
        <v/>
      </c>
      <c r="G14" s="10">
        <f>SUM(G13:G13)</f>
        <v/>
      </c>
      <c r="H14" s="10">
        <f>SUM(H13:H13)</f>
        <v/>
      </c>
      <c r="I14" s="10">
        <f>SUM(I13:I13)</f>
        <v/>
      </c>
      <c r="J14" s="10">
        <f>SUM(J13:J13)</f>
        <v/>
      </c>
      <c r="K14" s="10">
        <f>SUM(K13:K13)</f>
        <v/>
      </c>
      <c r="L14" s="10">
        <f>SUM(L13:L13)</f>
        <v/>
      </c>
      <c r="M14" s="10">
        <f>SUM(M13:M13)</f>
        <v/>
      </c>
      <c r="N14" s="10">
        <f>SUM(N13:N13)</f>
        <v/>
      </c>
    </row>
    <row r="15">
      <c r="A15" s="9" t="inlineStr">
        <is>
          <t>Gross Profit</t>
        </is>
      </c>
      <c r="B15" s="10">
        <f>B10-B14</f>
        <v/>
      </c>
      <c r="C15" s="10">
        <f>C10-C14</f>
        <v/>
      </c>
      <c r="D15" s="10">
        <f>D10-D14</f>
        <v/>
      </c>
      <c r="E15" s="10">
        <f>E10-E14</f>
        <v/>
      </c>
      <c r="F15" s="10">
        <f>F10-F14</f>
        <v/>
      </c>
      <c r="G15" s="10">
        <f>G10-G14</f>
        <v/>
      </c>
      <c r="H15" s="10">
        <f>H10-H14</f>
        <v/>
      </c>
      <c r="I15" s="10">
        <f>I10-I14</f>
        <v/>
      </c>
      <c r="J15" s="10">
        <f>J10-J14</f>
        <v/>
      </c>
      <c r="K15" s="10">
        <f>K10-K14</f>
        <v/>
      </c>
      <c r="L15" s="10">
        <f>L10-L14</f>
        <v/>
      </c>
      <c r="M15" s="10">
        <f>M10-M14</f>
        <v/>
      </c>
      <c r="N15" s="10">
        <f>N10-N14</f>
        <v/>
      </c>
    </row>
    <row r="17">
      <c r="A17" s="6" t="inlineStr">
        <is>
          <t>Expenses</t>
        </is>
      </c>
    </row>
    <row r="18">
      <c r="A18" s="7" t="inlineStr">
        <is>
          <t xml:space="preserve">   Auto/Fuel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>
        <v>65.45999999999999</v>
      </c>
      <c r="L18" s="8" t="n"/>
      <c r="M18" s="8" t="n"/>
      <c r="N18" s="8">
        <f>SUM(B18:M18)</f>
        <v/>
      </c>
    </row>
    <row r="19">
      <c r="A19" s="7" t="inlineStr">
        <is>
          <t xml:space="preserve">   Bank Service Charge</t>
        </is>
      </c>
      <c r="B19" s="8" t="n">
        <v>14</v>
      </c>
      <c r="C19" s="8" t="n"/>
      <c r="D19" s="8" t="n"/>
      <c r="E19" s="8" t="n"/>
      <c r="F19" s="8" t="n">
        <v>55</v>
      </c>
      <c r="G19" s="8" t="n">
        <v>15</v>
      </c>
      <c r="H19" s="8" t="n">
        <v>60</v>
      </c>
      <c r="I19" s="8" t="n">
        <v>90</v>
      </c>
      <c r="J19" s="8" t="n">
        <v>29</v>
      </c>
      <c r="K19" s="8" t="n">
        <v>25</v>
      </c>
      <c r="L19" s="8" t="n"/>
      <c r="M19" s="8" t="n"/>
      <c r="N19" s="8">
        <f>SUM(B19:M19)</f>
        <v/>
      </c>
    </row>
    <row r="20">
      <c r="A20" s="7" t="inlineStr">
        <is>
          <t xml:space="preserve">   Freight &amp; Shipping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>
        <v>495.39</v>
      </c>
      <c r="K20" s="8" t="n"/>
      <c r="L20" s="8" t="n"/>
      <c r="M20" s="8" t="n"/>
      <c r="N20" s="8">
        <f>SUM(B20:M20)</f>
        <v/>
      </c>
    </row>
    <row r="21">
      <c r="A21" s="7" t="inlineStr">
        <is>
          <t xml:space="preserve">   Meals</t>
        </is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>
        <v>378.38</v>
      </c>
      <c r="L21" s="8" t="n"/>
      <c r="M21" s="8" t="n"/>
      <c r="N21" s="8">
        <f>SUM(B21:M21)</f>
        <v/>
      </c>
    </row>
    <row r="22">
      <c r="A22" s="7" t="inlineStr">
        <is>
          <t xml:space="preserve">   Office Supplies</t>
        </is>
      </c>
      <c r="B22" s="8" t="n"/>
      <c r="C22" s="8" t="n"/>
      <c r="D22" s="8" t="n"/>
      <c r="E22" s="8" t="n"/>
      <c r="F22" s="8" t="n">
        <v>31.94</v>
      </c>
      <c r="G22" s="8" t="n">
        <v>31.94</v>
      </c>
      <c r="H22" s="8" t="n"/>
      <c r="I22" s="8" t="n"/>
      <c r="J22" s="8" t="n"/>
      <c r="K22" s="8" t="n">
        <v>427.2</v>
      </c>
      <c r="L22" s="8" t="n"/>
      <c r="M22" s="8" t="n"/>
      <c r="N22" s="8">
        <f>SUM(B22:M22)</f>
        <v/>
      </c>
    </row>
    <row r="23">
      <c r="A23" s="7" t="inlineStr">
        <is>
          <t xml:space="preserve">   Payroll Taxes</t>
        </is>
      </c>
      <c r="B23" s="8" t="n"/>
      <c r="C23" s="8" t="n"/>
      <c r="D23" s="8" t="n"/>
      <c r="E23" s="8" t="n"/>
      <c r="F23" s="8" t="n">
        <v>1926.34</v>
      </c>
      <c r="G23" s="8" t="n">
        <v>3633.26</v>
      </c>
      <c r="H23" s="8" t="n">
        <v>3416.22</v>
      </c>
      <c r="I23" s="8" t="n">
        <v>3546.76</v>
      </c>
      <c r="J23" s="8" t="n">
        <v>3839.91</v>
      </c>
      <c r="K23" s="8" t="n">
        <v>3527.13</v>
      </c>
      <c r="L23" s="8" t="n"/>
      <c r="M23" s="8" t="n"/>
      <c r="N23" s="8">
        <f>SUM(B23:M23)</f>
        <v/>
      </c>
    </row>
    <row r="24">
      <c r="A24" s="7" t="inlineStr">
        <is>
          <t xml:space="preserve">   Professional Fees</t>
        </is>
      </c>
      <c r="B24" s="8" t="n"/>
      <c r="C24" s="8" t="n"/>
      <c r="D24" s="8" t="n"/>
      <c r="E24" s="8" t="n"/>
      <c r="F24" s="8" t="n"/>
      <c r="G24" s="8" t="n">
        <v>10000</v>
      </c>
      <c r="H24" s="8" t="n"/>
      <c r="I24" s="8" t="n"/>
      <c r="J24" s="8" t="n"/>
      <c r="K24" s="8" t="n"/>
      <c r="L24" s="8" t="n"/>
      <c r="M24" s="8" t="n"/>
      <c r="N24" s="8">
        <f>SUM(B24:M24)</f>
        <v/>
      </c>
    </row>
    <row r="25">
      <c r="A25" s="7" t="inlineStr">
        <is>
          <t xml:space="preserve">   Rent</t>
        </is>
      </c>
      <c r="B25" s="8" t="n"/>
      <c r="C25" s="8" t="n"/>
      <c r="D25" s="8" t="n"/>
      <c r="E25" s="8" t="n"/>
      <c r="F25" s="8" t="n"/>
      <c r="G25" s="8" t="n">
        <v>5500</v>
      </c>
      <c r="H25" s="8" t="n"/>
      <c r="I25" s="8" t="n"/>
      <c r="J25" s="8" t="n">
        <v>6600</v>
      </c>
      <c r="K25" s="8" t="n"/>
      <c r="L25" s="8" t="n"/>
      <c r="M25" s="8" t="n"/>
      <c r="N25" s="8">
        <f>SUM(B25:M25)</f>
        <v/>
      </c>
    </row>
    <row r="26">
      <c r="A26" s="7" t="inlineStr">
        <is>
          <t xml:space="preserve">   Taxes &amp; Licenses</t>
        </is>
      </c>
      <c r="B26" s="8" t="n"/>
      <c r="C26" s="8" t="n"/>
      <c r="D26" s="8" t="n"/>
      <c r="E26" s="8" t="n"/>
      <c r="F26" s="8" t="n"/>
      <c r="G26" s="8" t="n"/>
      <c r="H26" s="8" t="n">
        <v>50</v>
      </c>
      <c r="I26" s="8" t="n"/>
      <c r="J26" s="8" t="n"/>
      <c r="K26" s="8" t="n">
        <v>194</v>
      </c>
      <c r="L26" s="8" t="n"/>
      <c r="M26" s="8" t="n"/>
      <c r="N26" s="8">
        <f>SUM(B26:M26)</f>
        <v/>
      </c>
    </row>
    <row r="27">
      <c r="A27" s="7" t="inlineStr">
        <is>
          <t xml:space="preserve">   Travel</t>
        </is>
      </c>
      <c r="B27" s="8" t="n"/>
      <c r="C27" s="8" t="n"/>
      <c r="D27" s="8" t="n"/>
      <c r="E27" s="8" t="n"/>
      <c r="F27" s="8" t="n"/>
      <c r="G27" s="8" t="n">
        <v>353</v>
      </c>
      <c r="H27" s="8" t="n"/>
      <c r="I27" s="8" t="n"/>
      <c r="J27" s="8" t="n"/>
      <c r="K27" s="8" t="n"/>
      <c r="L27" s="8" t="n"/>
      <c r="M27" s="8" t="n"/>
      <c r="N27" s="8">
        <f>SUM(B27:M27)</f>
        <v/>
      </c>
    </row>
    <row r="28">
      <c r="A28" s="7" t="inlineStr">
        <is>
          <t xml:space="preserve">   Wages &amp; Salaries</t>
        </is>
      </c>
      <c r="B28" s="8" t="n"/>
      <c r="C28" s="8" t="n"/>
      <c r="D28" s="8" t="n"/>
      <c r="E28" s="8" t="n">
        <v>2878.93</v>
      </c>
      <c r="F28" s="8" t="n">
        <v>6334.9</v>
      </c>
      <c r="G28" s="8" t="n">
        <v>14720.5</v>
      </c>
      <c r="H28" s="8" t="n">
        <v>6264.34</v>
      </c>
      <c r="I28" s="8" t="n">
        <v>12183.35</v>
      </c>
      <c r="J28" s="8" t="n">
        <v>20148.21</v>
      </c>
      <c r="K28" s="8" t="n">
        <v>12329.79</v>
      </c>
      <c r="L28" s="8" t="n"/>
      <c r="M28" s="8" t="n"/>
      <c r="N28" s="8">
        <f>SUM(B28:M28)</f>
        <v/>
      </c>
    </row>
    <row r="29">
      <c r="A29" s="9" t="inlineStr">
        <is>
          <t>Total Expenses</t>
        </is>
      </c>
      <c r="B29" s="10">
        <f>SUM(B18:B28)</f>
        <v/>
      </c>
      <c r="C29" s="10">
        <f>SUM(C18:C28)</f>
        <v/>
      </c>
      <c r="D29" s="10">
        <f>SUM(D18:D28)</f>
        <v/>
      </c>
      <c r="E29" s="10">
        <f>SUM(E18:E28)</f>
        <v/>
      </c>
      <c r="F29" s="10">
        <f>SUM(F18:F28)</f>
        <v/>
      </c>
      <c r="G29" s="10">
        <f>SUM(G18:G28)</f>
        <v/>
      </c>
      <c r="H29" s="10">
        <f>SUM(H18:H28)</f>
        <v/>
      </c>
      <c r="I29" s="10">
        <f>SUM(I18:I28)</f>
        <v/>
      </c>
      <c r="J29" s="10">
        <f>SUM(J18:J28)</f>
        <v/>
      </c>
      <c r="K29" s="10">
        <f>SUM(K18:K28)</f>
        <v/>
      </c>
      <c r="L29" s="10">
        <f>SUM(L18:L28)</f>
        <v/>
      </c>
      <c r="M29" s="10">
        <f>SUM(M18:M28)</f>
        <v/>
      </c>
      <c r="N29" s="10">
        <f>SUM(N18:N28)</f>
        <v/>
      </c>
    </row>
    <row r="31">
      <c r="A31" s="11" t="inlineStr">
        <is>
          <t>Net Income</t>
        </is>
      </c>
      <c r="B31" s="12">
        <f>B15-B29</f>
        <v/>
      </c>
      <c r="C31" s="12">
        <f>C15-C29</f>
        <v/>
      </c>
      <c r="D31" s="12">
        <f>D15-D29</f>
        <v/>
      </c>
      <c r="E31" s="12">
        <f>E15-E29</f>
        <v/>
      </c>
      <c r="F31" s="12">
        <f>F15-F29</f>
        <v/>
      </c>
      <c r="G31" s="12">
        <f>G15-G29</f>
        <v/>
      </c>
      <c r="H31" s="12">
        <f>H15-H29</f>
        <v/>
      </c>
      <c r="I31" s="12">
        <f>I15-I29</f>
        <v/>
      </c>
      <c r="J31" s="12">
        <f>J15-J29</f>
        <v/>
      </c>
      <c r="K31" s="12">
        <f>K15-K29</f>
        <v/>
      </c>
      <c r="L31" s="12">
        <f>L15-L29</f>
        <v/>
      </c>
      <c r="M31" s="12">
        <f>M15-M29</f>
        <v/>
      </c>
      <c r="N31" s="12">
        <f>N15-N29</f>
        <v/>
      </c>
    </row>
    <row r="34">
      <c r="A34" s="13" t="inlineStr">
        <is>
          <t>Notes:</t>
        </is>
      </c>
    </row>
    <row r="35">
      <c r="A35" s="13" t="inlineStr">
        <is>
          <t>• Source: QuickBooks Online (RobotX, Inc.), pulled 2026-06-24. Accrual basis.</t>
        </is>
      </c>
    </row>
    <row r="36">
      <c r="A36" s="13" t="inlineStr">
        <is>
          <t>• May–Jun 2026: no bank statements received yet (zero activity shown).</t>
        </is>
      </c>
    </row>
    <row r="37">
      <c r="A37" s="13" t="inlineStr">
        <is>
          <t>• Excludes the $680,000 Singularity Nuclear Energy deposit, currently booked to Common Stock pending confirmation it is a robot sale.</t>
        </is>
      </c>
    </row>
    <row r="38">
      <c r="A38" s="13" t="inlineStr">
        <is>
          <t>• Unidentified transfers/withdrawals are parked in Ask My Accountant (balance sheet), so they do not affect this P&amp;L.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2026-06-24T20:51:59Z</dcterms:created>
  <dcterms:modified xmlns:dcterms="http://purl.org/dc/terms/" xmlns:xsi="http://www.w3.org/2001/XMLSchema-instance" xsi:type="dcterms:W3CDTF">2026-06-24T20:51:59Z</dcterms:modified>
</cp:coreProperties>
</file>